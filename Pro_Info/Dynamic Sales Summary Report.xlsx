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C-EL\Creatrix\"/>
    </mc:Choice>
  </mc:AlternateContent>
  <xr:revisionPtr revIDLastSave="0" documentId="13_ncr:1_{22ED9FD3-F411-42B2-AD28-72210B439246}" xr6:coauthVersionLast="36" xr6:coauthVersionMax="36" xr10:uidLastSave="{00000000-0000-0000-0000-000000000000}"/>
  <bookViews>
    <workbookView xWindow="0" yWindow="0" windowWidth="23040" windowHeight="10404" activeTab="1" xr2:uid="{06B98075-FD7E-494F-BC74-F0F4862B44FC}"/>
  </bookViews>
  <sheets>
    <sheet name="Data" sheetId="1" r:id="rId1"/>
    <sheet name="ReportFor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2" l="1"/>
</calcChain>
</file>

<file path=xl/sharedStrings.xml><?xml version="1.0" encoding="utf-8"?>
<sst xmlns="http://schemas.openxmlformats.org/spreadsheetml/2006/main" count="171" uniqueCount="156">
  <si>
    <t>Return 
(TP+VAT)</t>
  </si>
  <si>
    <t>#Chemist-Coverage-Invoice-BSP</t>
  </si>
  <si>
    <t>#Chemist-Coverage-Invoice-GSP</t>
  </si>
  <si>
    <t>#Chemist-Coverage-Invoice-PSP</t>
  </si>
  <si>
    <t>#Chemist-Coverage-Invoice-FCB</t>
  </si>
  <si>
    <t>Total Customer</t>
  </si>
  <si>
    <t>No of Blue Star Customer</t>
  </si>
  <si>
    <t>No of Green Star Customer</t>
  </si>
  <si>
    <t>No of Pink Star Customer</t>
  </si>
  <si>
    <t>No of FCB Customer</t>
  </si>
  <si>
    <t>Sales Campaign Invoice</t>
  </si>
  <si>
    <t>Sales Campaign Collection</t>
  </si>
  <si>
    <t>Bonus Campaign Invoice</t>
  </si>
  <si>
    <t>Bonus Campaign Collection</t>
  </si>
  <si>
    <t>Total SMC Bondhon Customer</t>
  </si>
  <si>
    <t>SMC Bondhon Customer Sales-Invoice</t>
  </si>
  <si>
    <t>Total Doctor</t>
  </si>
  <si>
    <t>No of BSP</t>
  </si>
  <si>
    <t>No of GSP</t>
  </si>
  <si>
    <t>No of PSP</t>
  </si>
  <si>
    <t>No of GMP</t>
  </si>
  <si>
    <t>No of HQ Doctor</t>
  </si>
  <si>
    <t>No of Ex. HQ Doctor</t>
  </si>
  <si>
    <t>No of OS Doctor</t>
  </si>
  <si>
    <t>Sum of DCR-Total</t>
  </si>
  <si>
    <t>Sum of DCR-BSP</t>
  </si>
  <si>
    <t>Sum of DCR-GSP</t>
  </si>
  <si>
    <t>Sum of DCR-PSP</t>
  </si>
  <si>
    <t>Sum of GMP-DCR</t>
  </si>
  <si>
    <t>GMP-Doctor Coverage monthly</t>
  </si>
  <si>
    <t>Doctor Coverage monthly</t>
  </si>
  <si>
    <t>Sum of Rx Covered</t>
  </si>
  <si>
    <t>Sum of Rx Covered-BSP</t>
  </si>
  <si>
    <t>Sum of Rx Covered-GSP</t>
  </si>
  <si>
    <t>Sum of Rx Covered-PSP</t>
  </si>
  <si>
    <t>Sum of Rx Covered-GMP</t>
  </si>
  <si>
    <t>No of Dr Rx Prescriber</t>
  </si>
  <si>
    <t>GMP Dr.-Rx Prescriber</t>
  </si>
  <si>
    <t>No of SFD</t>
  </si>
  <si>
    <t>No of DCR-SFD</t>
  </si>
  <si>
    <t>No of Rx-SFD</t>
  </si>
  <si>
    <t>SFD Vist Coverage</t>
  </si>
  <si>
    <t>SFD Rx Coverage</t>
  </si>
  <si>
    <t>Productivity Invoice-Return</t>
  </si>
  <si>
    <t>Productivity Collection</t>
  </si>
  <si>
    <t>Target</t>
  </si>
  <si>
    <t xml:space="preserve">FCB Invoice
</t>
  </si>
  <si>
    <t xml:space="preserve">FCB Collection
</t>
  </si>
  <si>
    <t xml:space="preserve">Campaigns Invoice
</t>
  </si>
  <si>
    <t xml:space="preserve">Campaigns Collection 
</t>
  </si>
  <si>
    <t xml:space="preserve">General Invoice </t>
  </si>
  <si>
    <t xml:space="preserve">General Collection 
</t>
  </si>
  <si>
    <t xml:space="preserve">Institution Invoice </t>
  </si>
  <si>
    <t xml:space="preserve">Institution Collection </t>
  </si>
  <si>
    <t xml:space="preserve">HQ_Collection
</t>
  </si>
  <si>
    <t xml:space="preserve">Ex. HQ_Collection
</t>
  </si>
  <si>
    <t xml:space="preserve">Blue Star Invoice
</t>
  </si>
  <si>
    <t xml:space="preserve">Blue Star Collection
</t>
  </si>
  <si>
    <t xml:space="preserve">Green Star Invoice
</t>
  </si>
  <si>
    <t xml:space="preserve">Green Star Collection
</t>
  </si>
  <si>
    <t xml:space="preserve">Pink Star Invoice
</t>
  </si>
  <si>
    <t xml:space="preserve">Pink Star Collection
</t>
  </si>
  <si>
    <t>Territory</t>
  </si>
  <si>
    <t>Name of the Employee</t>
  </si>
  <si>
    <t>Desig.</t>
  </si>
  <si>
    <t>Area/Base HQ</t>
  </si>
  <si>
    <t>DoJ</t>
  </si>
  <si>
    <t>DK-100</t>
  </si>
  <si>
    <t>Mohammad Salah Uddin</t>
  </si>
  <si>
    <t>SM</t>
  </si>
  <si>
    <t>Dhaka</t>
  </si>
  <si>
    <t>DK-RX10</t>
  </si>
  <si>
    <t>Md. Rashedul Hasan</t>
  </si>
  <si>
    <t>AM</t>
  </si>
  <si>
    <t>Dhaka-RxArea</t>
  </si>
  <si>
    <t>DK-RX11</t>
  </si>
  <si>
    <t>Vacant-Rx</t>
  </si>
  <si>
    <t>Shaymoli</t>
  </si>
  <si>
    <t>-</t>
  </si>
  <si>
    <t>DK-RX12</t>
  </si>
  <si>
    <t xml:space="preserve">Aminul Islam </t>
  </si>
  <si>
    <t>MIO</t>
  </si>
  <si>
    <t>Kochukhet</t>
  </si>
  <si>
    <t>DK-RX13</t>
  </si>
  <si>
    <t>Md. Abubakkar Siddik</t>
  </si>
  <si>
    <t>Sr. MIO</t>
  </si>
  <si>
    <t>Mirpur-14</t>
  </si>
  <si>
    <t>DK-RX14</t>
  </si>
  <si>
    <t>Noor Ahmed</t>
  </si>
  <si>
    <t>MaaOShishuHospital</t>
  </si>
  <si>
    <t>DK-RX15</t>
  </si>
  <si>
    <t>Mirpur-10</t>
  </si>
  <si>
    <t>DK-RX16</t>
  </si>
  <si>
    <t>Mohakhalli</t>
  </si>
  <si>
    <t>DK-RX17</t>
  </si>
  <si>
    <t>Natunbazar</t>
  </si>
  <si>
    <t>Report Type</t>
  </si>
  <si>
    <t>Summary</t>
  </si>
  <si>
    <t>Details</t>
  </si>
  <si>
    <t>Filter By</t>
  </si>
  <si>
    <t>Filter Type</t>
  </si>
  <si>
    <t>Territory Wise</t>
  </si>
  <si>
    <t>User Wise</t>
  </si>
  <si>
    <t>Emp ID</t>
  </si>
  <si>
    <t>Calculation Type</t>
  </si>
  <si>
    <t>Net TP</t>
  </si>
  <si>
    <t>Net TP+VAT</t>
  </si>
  <si>
    <t>Report Column Add</t>
  </si>
  <si>
    <t xml:space="preserve">Invoice </t>
  </si>
  <si>
    <t>Collection</t>
  </si>
  <si>
    <t>Ex. HQ_Invoice</t>
  </si>
  <si>
    <t>HQ_Invoice</t>
  </si>
  <si>
    <t>OS_Invoice</t>
  </si>
  <si>
    <t>OS_Collection</t>
  </si>
  <si>
    <t>#Chemist-Coverage-Invoice</t>
  </si>
  <si>
    <t>#Chemist-Coverage-Collection</t>
  </si>
  <si>
    <t>#Chemist-Coverage-Collection-BSP</t>
  </si>
  <si>
    <t>#Chemist-Coverage-Collection-GSP</t>
  </si>
  <si>
    <t>#Chemist-Coverage-Collection-PSP</t>
  </si>
  <si>
    <t>#Chemist-Coverage-Collection-FCB</t>
  </si>
  <si>
    <t>#Total-InvoiceCov-Collection</t>
  </si>
  <si>
    <t>#InvoiceCov-Collection-BSP</t>
  </si>
  <si>
    <t>#InvoiceCov-Collection-GSP</t>
  </si>
  <si>
    <t>#InvoiceCov-Collection-PSP</t>
  </si>
  <si>
    <t>SMC Bondhon Customer Sales-Collection</t>
  </si>
  <si>
    <t>Cov. SMC Bondhon Customer-Collection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</si>
  <si>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</si>
  <si>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</si>
  <si>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</si>
  <si>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</si>
  <si>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</si>
  <si>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</si>
  <si>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</si>
  <si>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</si>
  <si>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</si>
  <si>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</si>
  <si>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</si>
  <si>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</si>
  <si>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</si>
  <si>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</si>
  <si>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 Range From</t>
  </si>
  <si>
    <t>Date Range To</t>
  </si>
  <si>
    <t>Multiple Select here the report Column</t>
  </si>
  <si>
    <t>SMS Setting</t>
  </si>
  <si>
    <t>Email Setting</t>
  </si>
  <si>
    <t>Template SMS system (Message+Figure)</t>
  </si>
  <si>
    <t>As per form</t>
  </si>
  <si>
    <t>Sl</t>
  </si>
  <si>
    <t>Filter type</t>
  </si>
  <si>
    <t>Figure</t>
  </si>
  <si>
    <t>As per Data</t>
  </si>
  <si>
    <t>Message</t>
  </si>
  <si>
    <t>TypeSending</t>
  </si>
  <si>
    <t>daily/Weekly/Monthly/Quarterly/Yearly</t>
  </si>
  <si>
    <t>Type</t>
  </si>
  <si>
    <t>National&gt;Zone&gt;Area&gt;Territory&gt;Sub-Territory&gt;Market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</si>
</sst>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64" fontId="1" fillId="0" borderId="0" xfId="0" applyNumberFormat="1" applyFont="1"/>
    <xf numFmtId="0" fontId="0" fillId="2" borderId="0" xfId="0" applyFill="1"/>
    <xf numFmtId="0" fontId="1" fillId="2" borderId="0" xfId="0" applyFont="1" applyFill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2</xdr:row>
      <xdr:rowOff>99060</xdr:rowOff>
    </xdr:from>
    <xdr:to>
      <xdr:col>2</xdr:col>
      <xdr:colOff>1417320</xdr:colOff>
      <xdr:row>2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E27A233-DD8B-4C4F-80F8-A3EC930FC7B5}"/>
            </a:ext>
          </a:extLst>
        </xdr:cNvPr>
        <xdr:cNvCxnSpPr/>
      </xdr:nvCxnSpPr>
      <xdr:spPr>
        <a:xfrm>
          <a:off x="1432560" y="281940"/>
          <a:ext cx="134112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403860</xdr:colOff>
      <xdr:row>2</xdr:row>
      <xdr:rowOff>91440</xdr:rowOff>
    </xdr:from>
    <xdr:to>
      <xdr:col>6</xdr:col>
      <xdr:colOff>838200</xdr:colOff>
      <xdr:row>6</xdr:row>
      <xdr:rowOff>38100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6D40583-2244-45D8-A0D2-DD1886FEF798}"/>
            </a:ext>
          </a:extLst>
        </xdr:cNvPr>
        <xdr:cNvCxnSpPr/>
      </xdr:nvCxnSpPr>
      <xdr:spPr>
        <a:xfrm flipH="1">
          <a:off x="1150620" y="457200"/>
          <a:ext cx="5158740" cy="67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434340</xdr:colOff>
      <xdr:row>3</xdr:row>
      <xdr:rowOff>106680</xdr:rowOff>
    </xdr:from>
    <xdr:to>
      <xdr:col>7</xdr:col>
      <xdr:colOff>30480</xdr:colOff>
      <xdr:row>5</xdr:row>
      <xdr:rowOff>152400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7CCDA18-0858-4717-A4BC-734B8F198B05}"/>
            </a:ext>
          </a:extLst>
        </xdr:cNvPr>
        <xdr:cNvCxnSpPr/>
      </xdr:nvCxnSpPr>
      <xdr:spPr>
        <a:xfrm flipH="1">
          <a:off x="434340" y="655320"/>
          <a:ext cx="592836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3</xdr:row>
      <xdr:rowOff>175260</xdr:rowOff>
    </xdr:from>
    <xdr:to>
      <xdr:col>9</xdr:col>
      <xdr:colOff>320040</xdr:colOff>
      <xdr:row>6</xdr:row>
      <xdr:rowOff>38100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039F3E5-59D1-413B-9788-87B5510F67FE}"/>
            </a:ext>
          </a:extLst>
        </xdr:cNvPr>
        <xdr:cNvCxnSpPr/>
      </xdr:nvCxnSpPr>
      <xdr:spPr>
        <a:xfrm flipH="1">
          <a:off x="5547360" y="723900"/>
          <a:ext cx="297942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754380</xdr:colOff>
      <xdr:row>2</xdr:row>
      <xdr:rowOff>83820</xdr:rowOff>
    </xdr:from>
    <xdr:to>
      <xdr:col>8</xdr:col>
      <xdr:colOff>434340</xdr:colOff>
      <xdr:row>6</xdr:row>
      <xdr:rowOff>38100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ADE43E6-C926-4B8B-8460-AF5137C54799}"/>
            </a:ext>
          </a:extLst>
        </xdr:cNvPr>
        <xdr:cNvCxnSpPr/>
      </xdr:nvCxnSpPr>
      <xdr:spPr>
        <a:xfrm flipH="1">
          <a:off x="5958840" y="342900"/>
          <a:ext cx="153924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518160</xdr:colOff>
      <xdr:row>5</xdr:row>
      <xdr:rowOff>102870</xdr:rowOff>
    </xdr:from>
    <xdr:to>
      <xdr:col>15</xdr:col>
      <xdr:colOff>525780</xdr:colOff>
      <xdr:row>17</xdr:row>
      <xdr:rowOff>3810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0" name="Add-in 19" title="Mini Calendar and Date Picker">
              <a:extLst>
                <a:ext uri="{FF2B5EF4-FFF2-40B4-BE49-F238E27FC236}">
                  <a16:creationId xmlns:a16="http://schemas.microsoft.com/office/drawing/2014/main" id="{6EF921B4-7005-45B1-BF70-E89ADD3EF95E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0" name="Add-in 19" title="Mini Calendar and Date Picker">
              <a:extLst>
                <a:ext uri="{FF2B5EF4-FFF2-40B4-BE49-F238E27FC236}">
                  <a16:creationId xmlns:a16="http://schemas.microsoft.com/office/drawing/2014/main" id="{6EF921B4-7005-45B1-BF70-E89ADD3EF9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190500</xdr:colOff>
      <xdr:row>4</xdr:row>
      <xdr:rowOff>0</xdr:rowOff>
    </xdr:from>
    <xdr:to>
      <xdr:col>14</xdr:col>
      <xdr:colOff>190500</xdr:colOff>
      <xdr:row>5</xdr:row>
      <xdr:rowOff>76200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A83EE94-385D-4BCA-BE04-9F8DB4A784BD}"/>
            </a:ext>
          </a:extLst>
        </xdr:cNvPr>
        <xdr:cNvCxnSpPr/>
      </xdr:nvCxnSpPr>
      <xdr:spPr>
        <a:xfrm>
          <a:off x="13114020" y="731520"/>
          <a:ext cx="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</xdr:colOff>
      <xdr:row>1</xdr:row>
      <xdr:rowOff>160020</xdr:rowOff>
    </xdr:from>
    <xdr:to>
      <xdr:col>14</xdr:col>
      <xdr:colOff>259080</xdr:colOff>
      <xdr:row>4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4DD4170-8A80-481C-9824-EB38D3015FAB}"/>
            </a:ext>
          </a:extLst>
        </xdr:cNvPr>
        <xdr:cNvSpPr/>
      </xdr:nvSpPr>
      <xdr:spPr>
        <a:xfrm>
          <a:off x="12321540" y="342900"/>
          <a:ext cx="861060" cy="3886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1048868</xdr:colOff>
      <xdr:row>2</xdr:row>
      <xdr:rowOff>8965</xdr:rowOff>
    </xdr:from>
    <xdr:to>
      <xdr:col>0</xdr:col>
      <xdr:colOff>1174374</xdr:colOff>
      <xdr:row>2</xdr:row>
      <xdr:rowOff>152401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AC5437B-BB66-4515-9AE2-9AF8F5FF5C6D}"/>
            </a:ext>
          </a:extLst>
        </xdr:cNvPr>
        <xdr:cNvSpPr/>
      </xdr:nvSpPr>
      <xdr:spPr>
        <a:xfrm flipH="1">
          <a:off x="1048868" y="268941"/>
          <a:ext cx="125506" cy="14343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1048869</xdr:colOff>
      <xdr:row>3</xdr:row>
      <xdr:rowOff>0</xdr:rowOff>
    </xdr:from>
    <xdr:to>
      <xdr:col>0</xdr:col>
      <xdr:colOff>1165410</xdr:colOff>
      <xdr:row>3</xdr:row>
      <xdr:rowOff>153745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B8F1043-E246-4767-BFE7-8B1B4A1F935E}"/>
            </a:ext>
          </a:extLst>
        </xdr:cNvPr>
        <xdr:cNvSpPr/>
      </xdr:nvSpPr>
      <xdr:spPr>
        <a:xfrm>
          <a:off x="1048869" y="439271"/>
          <a:ext cx="116541" cy="15374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190500</xdr:colOff>
      <xdr:row>19</xdr:row>
      <xdr:rowOff>99060</xdr:rowOff>
    </xdr:from>
    <xdr:to>
      <xdr:col>2</xdr:col>
      <xdr:colOff>685800</xdr:colOff>
      <xdr:row>22</xdr:row>
      <xdr:rowOff>114300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A291DF2-AB35-4FAC-B4E6-B318F3F749BA}"/>
            </a:ext>
          </a:extLst>
        </xdr:cNvPr>
        <xdr:cNvCxnSpPr/>
      </xdr:nvCxnSpPr>
      <xdr:spPr>
        <a:xfrm flipH="1">
          <a:off x="1440180" y="3467100"/>
          <a:ext cx="49530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3</xdr:row>
      <xdr:rowOff>15240</xdr:rowOff>
    </xdr:from>
    <xdr:to>
      <xdr:col>9</xdr:col>
      <xdr:colOff>632460</xdr:colOff>
      <xdr:row>23</xdr:row>
      <xdr:rowOff>53340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A271D8C-F583-41F2-97AB-ECEF434BEA88}"/>
            </a:ext>
          </a:extLst>
        </xdr:cNvPr>
        <xdr:cNvCxnSpPr/>
      </xdr:nvCxnSpPr>
      <xdr:spPr>
        <a:xfrm flipH="1">
          <a:off x="1821180" y="457200"/>
          <a:ext cx="7155180" cy="3695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3</xdr:row>
      <xdr:rowOff>99060</xdr:rowOff>
    </xdr:from>
    <xdr:to>
      <xdr:col>10</xdr:col>
      <xdr:colOff>281940</xdr:colOff>
      <xdr:row>23</xdr:row>
      <xdr:rowOff>68580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7735AB7-B32D-4318-821E-0B2A3817D54E}"/>
            </a:ext>
          </a:extLst>
        </xdr:cNvPr>
        <xdr:cNvCxnSpPr/>
      </xdr:nvCxnSpPr>
      <xdr:spPr>
        <a:xfrm flipH="1">
          <a:off x="2964180" y="541020"/>
          <a:ext cx="8008620" cy="3627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655320</xdr:colOff>
      <xdr:row>4</xdr:row>
      <xdr:rowOff>0</xdr:rowOff>
    </xdr:from>
    <xdr:to>
      <xdr:col>11</xdr:col>
      <xdr:colOff>472440</xdr:colOff>
      <xdr:row>23</xdr:row>
      <xdr:rowOff>68580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FADF04BC-5A8A-4067-B6AD-ABD9E34B5546}"/>
            </a:ext>
          </a:extLst>
        </xdr:cNvPr>
        <xdr:cNvCxnSpPr/>
      </xdr:nvCxnSpPr>
      <xdr:spPr>
        <a:xfrm flipH="1">
          <a:off x="3962400" y="624840"/>
          <a:ext cx="7810500" cy="3543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6EF921B4-7005-45B1-BF70-E89ADD3EF95E}">
  <we:reference id="wa102957665" version="1.3.0.0" store="en-US" storeType="OMEX"/>
  <we:alternateReferences>
    <we:reference id="WA102957665" version="1.3.0.0" store="WA102957665" storeType="OMEX"/>
  </we:alternateReferences>
  <we:properties/>
  <we:bindings/>
  <we:snapshot xmlns:r="http://schemas.openxmlformats.org/officeDocument/2006/relationships" r:embed="rId1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6F38-BAC6-4580-9CA4-E487947985B6}">
  <dimension ref="A1:J80"/>
  <sheetViews>
    <sheetView workbookViewId="0">
      <selection activeCell="E15" sqref="E15"/>
    </sheetView>
  </sheetViews>
  <sheetFormatPr defaultRowHeight="14.4" x14ac:dyDescent="0.3"/>
  <cols>
    <col min="1" max="1" width="32.44140625" style="2" bestFit="1" customWidth="1"/>
    <col min="5" max="5" width="7" bestFit="1" customWidth="1"/>
    <col min="6" max="6" width="8.109375" bestFit="1" customWidth="1"/>
    <col min="7" max="7" width="21.109375" bestFit="1" customWidth="1"/>
    <col min="8" max="8" width="5.88671875" bestFit="1" customWidth="1"/>
    <col min="9" max="9" width="12.5546875" bestFit="1" customWidth="1"/>
    <col min="10" max="10" width="9.6640625" style="3" bestFit="1" customWidth="1"/>
  </cols>
  <sheetData>
    <row r="1" spans="1:3" x14ac:dyDescent="0.3">
      <c r="A1" s="2" t="s">
        <v>45</v>
      </c>
      <c r="C1" t="s">
        <v>128</v>
      </c>
    </row>
    <row r="2" spans="1:3" x14ac:dyDescent="0.3">
      <c r="A2" s="1" t="s">
        <v>108</v>
      </c>
      <c r="C2" t="s">
        <v>129</v>
      </c>
    </row>
    <row r="3" spans="1:3" x14ac:dyDescent="0.3">
      <c r="A3" s="1" t="s">
        <v>109</v>
      </c>
      <c r="C3" t="s">
        <v>130</v>
      </c>
    </row>
    <row r="4" spans="1:3" x14ac:dyDescent="0.3">
      <c r="A4" s="2" t="s">
        <v>46</v>
      </c>
      <c r="C4" t="s">
        <v>131</v>
      </c>
    </row>
    <row r="5" spans="1:3" x14ac:dyDescent="0.3">
      <c r="A5" s="2" t="s">
        <v>47</v>
      </c>
      <c r="C5" t="s">
        <v>132</v>
      </c>
    </row>
    <row r="6" spans="1:3" x14ac:dyDescent="0.3">
      <c r="A6" s="2" t="s">
        <v>48</v>
      </c>
      <c r="C6" t="s">
        <v>133</v>
      </c>
    </row>
    <row r="7" spans="1:3" x14ac:dyDescent="0.3">
      <c r="A7" s="2" t="s">
        <v>49</v>
      </c>
      <c r="C7" t="s">
        <v>134</v>
      </c>
    </row>
    <row r="8" spans="1:3" x14ac:dyDescent="0.3">
      <c r="A8" s="2" t="s">
        <v>50</v>
      </c>
      <c r="C8" t="s">
        <v>135</v>
      </c>
    </row>
    <row r="9" spans="1:3" x14ac:dyDescent="0.3">
      <c r="A9" s="2" t="s">
        <v>51</v>
      </c>
      <c r="C9" t="s">
        <v>136</v>
      </c>
    </row>
    <row r="10" spans="1:3" x14ac:dyDescent="0.3">
      <c r="A10" s="2" t="s">
        <v>52</v>
      </c>
      <c r="C10" t="s">
        <v>137</v>
      </c>
    </row>
    <row r="11" spans="1:3" x14ac:dyDescent="0.3">
      <c r="A11" s="2" t="s">
        <v>53</v>
      </c>
      <c r="C11" t="s">
        <v>138</v>
      </c>
    </row>
    <row r="12" spans="1:3" x14ac:dyDescent="0.3">
      <c r="A12" s="1" t="s">
        <v>111</v>
      </c>
      <c r="C12" t="s">
        <v>139</v>
      </c>
    </row>
    <row r="13" spans="1:3" x14ac:dyDescent="0.3">
      <c r="A13" s="2" t="s">
        <v>54</v>
      </c>
    </row>
    <row r="14" spans="1:3" x14ac:dyDescent="0.3">
      <c r="A14" s="2" t="s">
        <v>110</v>
      </c>
    </row>
    <row r="15" spans="1:3" x14ac:dyDescent="0.3">
      <c r="A15" s="2" t="s">
        <v>55</v>
      </c>
    </row>
    <row r="16" spans="1:3" x14ac:dyDescent="0.3">
      <c r="A16" s="2" t="s">
        <v>112</v>
      </c>
    </row>
    <row r="17" spans="1:1" x14ac:dyDescent="0.3">
      <c r="A17" s="2" t="s">
        <v>113</v>
      </c>
    </row>
    <row r="18" spans="1:1" x14ac:dyDescent="0.3">
      <c r="A18" s="2" t="s">
        <v>0</v>
      </c>
    </row>
    <row r="19" spans="1:1" x14ac:dyDescent="0.3">
      <c r="A19" s="2" t="s">
        <v>114</v>
      </c>
    </row>
    <row r="20" spans="1:1" x14ac:dyDescent="0.3">
      <c r="A20" s="2" t="s">
        <v>115</v>
      </c>
    </row>
    <row r="21" spans="1:1" x14ac:dyDescent="0.3">
      <c r="A21" s="2" t="s">
        <v>1</v>
      </c>
    </row>
    <row r="22" spans="1:1" x14ac:dyDescent="0.3">
      <c r="A22" s="2" t="s">
        <v>116</v>
      </c>
    </row>
    <row r="23" spans="1:1" x14ac:dyDescent="0.3">
      <c r="A23" s="2" t="s">
        <v>2</v>
      </c>
    </row>
    <row r="24" spans="1:1" x14ac:dyDescent="0.3">
      <c r="A24" s="2" t="s">
        <v>117</v>
      </c>
    </row>
    <row r="25" spans="1:1" x14ac:dyDescent="0.3">
      <c r="A25" s="2" t="s">
        <v>3</v>
      </c>
    </row>
    <row r="26" spans="1:1" x14ac:dyDescent="0.3">
      <c r="A26" s="2" t="s">
        <v>118</v>
      </c>
    </row>
    <row r="27" spans="1:1" x14ac:dyDescent="0.3">
      <c r="A27" s="2" t="s">
        <v>4</v>
      </c>
    </row>
    <row r="28" spans="1:1" x14ac:dyDescent="0.3">
      <c r="A28" s="2" t="s">
        <v>119</v>
      </c>
    </row>
    <row r="29" spans="1:1" x14ac:dyDescent="0.3">
      <c r="A29" s="2" t="s">
        <v>120</v>
      </c>
    </row>
    <row r="30" spans="1:1" x14ac:dyDescent="0.3">
      <c r="A30" s="2" t="s">
        <v>121</v>
      </c>
    </row>
    <row r="31" spans="1:1" x14ac:dyDescent="0.3">
      <c r="A31" s="2" t="s">
        <v>122</v>
      </c>
    </row>
    <row r="32" spans="1:1" x14ac:dyDescent="0.3">
      <c r="A32" s="2" t="s">
        <v>123</v>
      </c>
    </row>
    <row r="33" spans="1:1" x14ac:dyDescent="0.3">
      <c r="A33" s="2" t="s">
        <v>56</v>
      </c>
    </row>
    <row r="34" spans="1:1" x14ac:dyDescent="0.3">
      <c r="A34" s="2" t="s">
        <v>57</v>
      </c>
    </row>
    <row r="35" spans="1:1" x14ac:dyDescent="0.3">
      <c r="A35" s="2" t="s">
        <v>58</v>
      </c>
    </row>
    <row r="36" spans="1:1" x14ac:dyDescent="0.3">
      <c r="A36" s="2" t="s">
        <v>59</v>
      </c>
    </row>
    <row r="37" spans="1:1" x14ac:dyDescent="0.3">
      <c r="A37" s="2" t="s">
        <v>60</v>
      </c>
    </row>
    <row r="38" spans="1:1" x14ac:dyDescent="0.3">
      <c r="A38" s="2" t="s">
        <v>61</v>
      </c>
    </row>
    <row r="39" spans="1:1" x14ac:dyDescent="0.3">
      <c r="A39" s="2" t="s">
        <v>5</v>
      </c>
    </row>
    <row r="40" spans="1:1" x14ac:dyDescent="0.3">
      <c r="A40" s="2" t="s">
        <v>6</v>
      </c>
    </row>
    <row r="41" spans="1:1" x14ac:dyDescent="0.3">
      <c r="A41" s="2" t="s">
        <v>7</v>
      </c>
    </row>
    <row r="42" spans="1:1" x14ac:dyDescent="0.3">
      <c r="A42" s="2" t="s">
        <v>8</v>
      </c>
    </row>
    <row r="43" spans="1:1" x14ac:dyDescent="0.3">
      <c r="A43" s="2" t="s">
        <v>9</v>
      </c>
    </row>
    <row r="44" spans="1:1" x14ac:dyDescent="0.3">
      <c r="A44" s="2" t="s">
        <v>10</v>
      </c>
    </row>
    <row r="45" spans="1:1" x14ac:dyDescent="0.3">
      <c r="A45" s="2" t="s">
        <v>11</v>
      </c>
    </row>
    <row r="46" spans="1:1" x14ac:dyDescent="0.3">
      <c r="A46" s="2" t="s">
        <v>12</v>
      </c>
    </row>
    <row r="47" spans="1:1" x14ac:dyDescent="0.3">
      <c r="A47" s="2" t="s">
        <v>13</v>
      </c>
    </row>
    <row r="48" spans="1:1" x14ac:dyDescent="0.3">
      <c r="A48" s="2" t="s">
        <v>14</v>
      </c>
    </row>
    <row r="49" spans="1:1" x14ac:dyDescent="0.3">
      <c r="A49" s="2" t="s">
        <v>15</v>
      </c>
    </row>
    <row r="50" spans="1:1" x14ac:dyDescent="0.3">
      <c r="A50" s="2" t="s">
        <v>124</v>
      </c>
    </row>
    <row r="51" spans="1:1" x14ac:dyDescent="0.3">
      <c r="A51" s="2" t="s">
        <v>125</v>
      </c>
    </row>
    <row r="52" spans="1:1" x14ac:dyDescent="0.3">
      <c r="A52" s="2" t="s">
        <v>16</v>
      </c>
    </row>
    <row r="53" spans="1:1" x14ac:dyDescent="0.3">
      <c r="A53" s="2" t="s">
        <v>17</v>
      </c>
    </row>
    <row r="54" spans="1:1" x14ac:dyDescent="0.3">
      <c r="A54" s="2" t="s">
        <v>18</v>
      </c>
    </row>
    <row r="55" spans="1:1" x14ac:dyDescent="0.3">
      <c r="A55" s="2" t="s">
        <v>19</v>
      </c>
    </row>
    <row r="56" spans="1:1" x14ac:dyDescent="0.3">
      <c r="A56" s="2" t="s">
        <v>20</v>
      </c>
    </row>
    <row r="57" spans="1:1" x14ac:dyDescent="0.3">
      <c r="A57" s="2" t="s">
        <v>21</v>
      </c>
    </row>
    <row r="58" spans="1:1" x14ac:dyDescent="0.3">
      <c r="A58" s="2" t="s">
        <v>22</v>
      </c>
    </row>
    <row r="59" spans="1:1" x14ac:dyDescent="0.3">
      <c r="A59" s="2" t="s">
        <v>23</v>
      </c>
    </row>
    <row r="60" spans="1:1" x14ac:dyDescent="0.3">
      <c r="A60" s="2" t="s">
        <v>24</v>
      </c>
    </row>
    <row r="61" spans="1:1" x14ac:dyDescent="0.3">
      <c r="A61" s="2" t="s">
        <v>25</v>
      </c>
    </row>
    <row r="62" spans="1:1" x14ac:dyDescent="0.3">
      <c r="A62" s="2" t="s">
        <v>26</v>
      </c>
    </row>
    <row r="63" spans="1:1" x14ac:dyDescent="0.3">
      <c r="A63" s="2" t="s">
        <v>27</v>
      </c>
    </row>
    <row r="64" spans="1:1" x14ac:dyDescent="0.3">
      <c r="A64" s="2" t="s">
        <v>28</v>
      </c>
    </row>
    <row r="65" spans="1:1" x14ac:dyDescent="0.3">
      <c r="A65" s="2" t="s">
        <v>29</v>
      </c>
    </row>
    <row r="66" spans="1:1" x14ac:dyDescent="0.3">
      <c r="A66" s="2" t="s">
        <v>30</v>
      </c>
    </row>
    <row r="67" spans="1:1" x14ac:dyDescent="0.3">
      <c r="A67" s="2" t="s">
        <v>31</v>
      </c>
    </row>
    <row r="68" spans="1:1" x14ac:dyDescent="0.3">
      <c r="A68" s="2" t="s">
        <v>32</v>
      </c>
    </row>
    <row r="69" spans="1:1" x14ac:dyDescent="0.3">
      <c r="A69" s="2" t="s">
        <v>33</v>
      </c>
    </row>
    <row r="70" spans="1:1" x14ac:dyDescent="0.3">
      <c r="A70" s="2" t="s">
        <v>34</v>
      </c>
    </row>
    <row r="71" spans="1:1" x14ac:dyDescent="0.3">
      <c r="A71" s="2" t="s">
        <v>35</v>
      </c>
    </row>
    <row r="72" spans="1:1" x14ac:dyDescent="0.3">
      <c r="A72" s="2" t="s">
        <v>36</v>
      </c>
    </row>
    <row r="73" spans="1:1" x14ac:dyDescent="0.3">
      <c r="A73" s="2" t="s">
        <v>37</v>
      </c>
    </row>
    <row r="74" spans="1:1" x14ac:dyDescent="0.3">
      <c r="A74" s="2" t="s">
        <v>38</v>
      </c>
    </row>
    <row r="75" spans="1:1" x14ac:dyDescent="0.3">
      <c r="A75" s="2" t="s">
        <v>39</v>
      </c>
    </row>
    <row r="76" spans="1:1" x14ac:dyDescent="0.3">
      <c r="A76" s="2" t="s">
        <v>40</v>
      </c>
    </row>
    <row r="77" spans="1:1" x14ac:dyDescent="0.3">
      <c r="A77" s="2" t="s">
        <v>41</v>
      </c>
    </row>
    <row r="78" spans="1:1" x14ac:dyDescent="0.3">
      <c r="A78" s="2" t="s">
        <v>42</v>
      </c>
    </row>
    <row r="79" spans="1:1" x14ac:dyDescent="0.3">
      <c r="A79" s="2" t="s">
        <v>43</v>
      </c>
    </row>
    <row r="80" spans="1:1" x14ac:dyDescent="0.3">
      <c r="A80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1BF0-B036-469C-9ACD-3A7D7603238F}">
  <dimension ref="A1:N25"/>
  <sheetViews>
    <sheetView tabSelected="1" zoomScale="85" zoomScaleNormal="85" workbookViewId="0">
      <selection activeCell="A8" sqref="A8:F8"/>
    </sheetView>
  </sheetViews>
  <sheetFormatPr defaultRowHeight="14.4" x14ac:dyDescent="0.3"/>
  <cols>
    <col min="1" max="1" width="17.6640625" customWidth="1"/>
    <col min="2" max="2" width="11.21875" bestFit="1" customWidth="1"/>
    <col min="3" max="3" width="21.109375" bestFit="1" customWidth="1"/>
    <col min="5" max="5" width="18" bestFit="1" customWidth="1"/>
    <col min="6" max="6" width="11.33203125" customWidth="1"/>
    <col min="7" max="7" width="14.5546875" bestFit="1" customWidth="1"/>
    <col min="8" max="8" width="12.5546875" bestFit="1" customWidth="1"/>
    <col min="9" max="9" width="18.6640625" bestFit="1" customWidth="1"/>
    <col min="10" max="10" width="34.21875" bestFit="1" customWidth="1"/>
    <col min="12" max="12" width="9.77734375" bestFit="1" customWidth="1"/>
    <col min="13" max="13" width="15.44140625" bestFit="1" customWidth="1"/>
  </cols>
  <sheetData>
    <row r="1" spans="1:14" s="4" customFormat="1" x14ac:dyDescent="0.3">
      <c r="B1" s="4" t="s">
        <v>96</v>
      </c>
      <c r="D1" s="4" t="s">
        <v>99</v>
      </c>
      <c r="H1" s="4" t="s">
        <v>100</v>
      </c>
      <c r="I1" s="4" t="s">
        <v>104</v>
      </c>
      <c r="J1" s="4" t="s">
        <v>107</v>
      </c>
    </row>
    <row r="2" spans="1:14" ht="6" customHeight="1" x14ac:dyDescent="0.3"/>
    <row r="3" spans="1:14" s="4" customFormat="1" x14ac:dyDescent="0.3">
      <c r="B3" s="4" t="s">
        <v>97</v>
      </c>
      <c r="D3" s="4" t="s">
        <v>155</v>
      </c>
      <c r="H3" s="4" t="s">
        <v>101</v>
      </c>
      <c r="I3" s="8" t="s">
        <v>105</v>
      </c>
      <c r="J3" s="4" t="s">
        <v>142</v>
      </c>
      <c r="K3" s="4" t="s">
        <v>126</v>
      </c>
      <c r="L3" s="4" t="s">
        <v>127</v>
      </c>
      <c r="M3" s="4" t="s">
        <v>140</v>
      </c>
      <c r="N3" s="9">
        <v>44835</v>
      </c>
    </row>
    <row r="4" spans="1:14" x14ac:dyDescent="0.3">
      <c r="B4" t="s">
        <v>98</v>
      </c>
      <c r="H4" t="s">
        <v>102</v>
      </c>
      <c r="I4" s="5" t="s">
        <v>106</v>
      </c>
      <c r="J4" s="13" t="s">
        <v>45</v>
      </c>
      <c r="K4" s="7">
        <v>2022</v>
      </c>
      <c r="L4" s="7" t="s">
        <v>136</v>
      </c>
      <c r="M4" s="4" t="s">
        <v>141</v>
      </c>
      <c r="N4" s="9">
        <v>44865</v>
      </c>
    </row>
    <row r="7" spans="1:14" s="4" customFormat="1" x14ac:dyDescent="0.3">
      <c r="A7" s="4" t="s">
        <v>103</v>
      </c>
      <c r="B7" s="4" t="s">
        <v>62</v>
      </c>
      <c r="C7" s="4" t="s">
        <v>63</v>
      </c>
      <c r="D7" s="4" t="s">
        <v>64</v>
      </c>
      <c r="E7" s="4" t="s">
        <v>65</v>
      </c>
      <c r="F7" s="6" t="s">
        <v>66</v>
      </c>
      <c r="G7" s="4" t="str">
        <f>J4&amp;" ("&amp;I3&amp;")"</f>
        <v>Target (Net TP)</v>
      </c>
    </row>
    <row r="8" spans="1:14" x14ac:dyDescent="0.3">
      <c r="A8">
        <v>50990</v>
      </c>
      <c r="B8" t="s">
        <v>67</v>
      </c>
      <c r="C8" t="s">
        <v>68</v>
      </c>
      <c r="D8" t="s">
        <v>69</v>
      </c>
      <c r="E8" t="s">
        <v>70</v>
      </c>
      <c r="F8" s="3">
        <v>43066</v>
      </c>
    </row>
    <row r="9" spans="1:14" x14ac:dyDescent="0.3">
      <c r="A9">
        <v>52164</v>
      </c>
      <c r="B9" t="s">
        <v>71</v>
      </c>
      <c r="C9" t="s">
        <v>72</v>
      </c>
      <c r="D9" t="s">
        <v>73</v>
      </c>
      <c r="E9" t="s">
        <v>74</v>
      </c>
      <c r="F9" s="3">
        <v>44766</v>
      </c>
    </row>
    <row r="10" spans="1:14" x14ac:dyDescent="0.3">
      <c r="A10">
        <v>0</v>
      </c>
      <c r="B10" t="s">
        <v>75</v>
      </c>
      <c r="C10" t="s">
        <v>76</v>
      </c>
      <c r="D10">
        <v>0</v>
      </c>
      <c r="E10" t="s">
        <v>77</v>
      </c>
      <c r="F10" s="3" t="s">
        <v>78</v>
      </c>
    </row>
    <row r="11" spans="1:14" x14ac:dyDescent="0.3">
      <c r="A11">
        <v>52177</v>
      </c>
      <c r="B11" t="s">
        <v>79</v>
      </c>
      <c r="C11" t="s">
        <v>80</v>
      </c>
      <c r="D11" t="s">
        <v>81</v>
      </c>
      <c r="E11" t="s">
        <v>82</v>
      </c>
      <c r="F11" s="3">
        <v>44766</v>
      </c>
    </row>
    <row r="12" spans="1:14" x14ac:dyDescent="0.3">
      <c r="A12">
        <v>52244</v>
      </c>
      <c r="B12" t="s">
        <v>83</v>
      </c>
      <c r="C12" t="s">
        <v>84</v>
      </c>
      <c r="D12" t="s">
        <v>85</v>
      </c>
      <c r="E12" t="s">
        <v>86</v>
      </c>
      <c r="F12" s="3">
        <v>44801</v>
      </c>
    </row>
    <row r="13" spans="1:14" x14ac:dyDescent="0.3">
      <c r="A13">
        <v>52245</v>
      </c>
      <c r="B13" t="s">
        <v>87</v>
      </c>
      <c r="C13" t="s">
        <v>88</v>
      </c>
      <c r="D13" t="s">
        <v>85</v>
      </c>
      <c r="E13" t="s">
        <v>89</v>
      </c>
      <c r="F13" s="3">
        <v>44801</v>
      </c>
    </row>
    <row r="14" spans="1:14" x14ac:dyDescent="0.3">
      <c r="A14">
        <v>0</v>
      </c>
      <c r="B14" t="s">
        <v>90</v>
      </c>
      <c r="C14" t="s">
        <v>76</v>
      </c>
      <c r="D14">
        <v>0</v>
      </c>
      <c r="E14" t="s">
        <v>91</v>
      </c>
      <c r="F14" s="3" t="s">
        <v>78</v>
      </c>
    </row>
    <row r="15" spans="1:14" x14ac:dyDescent="0.3">
      <c r="A15">
        <v>0</v>
      </c>
      <c r="B15" t="s">
        <v>92</v>
      </c>
      <c r="C15" t="s">
        <v>76</v>
      </c>
      <c r="D15">
        <v>0</v>
      </c>
      <c r="E15" t="s">
        <v>93</v>
      </c>
      <c r="F15" s="3" t="s">
        <v>78</v>
      </c>
    </row>
    <row r="16" spans="1:14" x14ac:dyDescent="0.3">
      <c r="A16">
        <v>0</v>
      </c>
      <c r="B16" t="s">
        <v>94</v>
      </c>
      <c r="C16" t="s">
        <v>76</v>
      </c>
      <c r="D16">
        <v>0</v>
      </c>
      <c r="E16" t="s">
        <v>95</v>
      </c>
      <c r="F16" s="3" t="s">
        <v>78</v>
      </c>
    </row>
    <row r="17" spans="1:12" x14ac:dyDescent="0.3">
      <c r="L17" s="10"/>
    </row>
    <row r="19" spans="1:12" x14ac:dyDescent="0.3">
      <c r="A19" s="12" t="s">
        <v>152</v>
      </c>
      <c r="B19" s="12" t="s">
        <v>154</v>
      </c>
      <c r="C19" s="12" t="s">
        <v>151</v>
      </c>
    </row>
    <row r="20" spans="1:12" ht="43.2" x14ac:dyDescent="0.3">
      <c r="A20" s="14" t="s">
        <v>153</v>
      </c>
      <c r="B20" s="15" t="s">
        <v>144</v>
      </c>
      <c r="C20" s="15" t="s">
        <v>146</v>
      </c>
    </row>
    <row r="21" spans="1:12" ht="43.2" x14ac:dyDescent="0.3">
      <c r="A21" s="14" t="s">
        <v>153</v>
      </c>
      <c r="B21" s="15" t="s">
        <v>143</v>
      </c>
      <c r="C21" s="16" t="s">
        <v>145</v>
      </c>
    </row>
    <row r="23" spans="1:12" x14ac:dyDescent="0.3">
      <c r="B23" s="12" t="s">
        <v>147</v>
      </c>
      <c r="C23" s="12" t="s">
        <v>148</v>
      </c>
      <c r="D23" s="12" t="s">
        <v>126</v>
      </c>
      <c r="E23" s="12" t="s">
        <v>127</v>
      </c>
      <c r="F23" s="12" t="s">
        <v>149</v>
      </c>
      <c r="G23" s="12" t="s">
        <v>151</v>
      </c>
    </row>
    <row r="24" spans="1:12" x14ac:dyDescent="0.3">
      <c r="B24" s="11"/>
      <c r="C24" s="11" t="s">
        <v>45</v>
      </c>
      <c r="D24" s="11">
        <v>2022</v>
      </c>
      <c r="E24" s="11" t="s">
        <v>136</v>
      </c>
      <c r="F24" s="11" t="s">
        <v>150</v>
      </c>
      <c r="G24" s="11"/>
    </row>
    <row r="25" spans="1:12" x14ac:dyDescent="0.3">
      <c r="B25" s="11"/>
      <c r="C25" s="11"/>
      <c r="D25" s="11"/>
      <c r="E25" s="11"/>
      <c r="F25" s="11"/>
      <c r="G25" s="11"/>
    </row>
  </sheetData>
  <dataValidations count="1">
    <dataValidation type="list" allowBlank="1" showInputMessage="1" showErrorMessage="1" sqref="K4" xr:uid="{870F6DE4-2D08-49DC-85BC-6884DFC91FA1}">
      <formula1>"2017,2018,2019,2020,2021,2022,2023,2024"</formula1>
    </dataValidation>
  </dataValidations>
  <pageMargins left="0.7" right="0.7" top="0.75" bottom="0.75" header="0.3" footer="0.3"/>
  <pageSetup orientation="portrait" horizontalDpi="4294967295" verticalDpi="4294967295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6545ABF-4AE6-481D-961E-62EC5C773EFE}">
          <x14:formula1>
            <xm:f>Data!$A$1:$A$80</xm:f>
          </x14:formula1>
          <xm:sqref>J4</xm:sqref>
        </x14:dataValidation>
        <x14:dataValidation type="list" allowBlank="1" showInputMessage="1" showErrorMessage="1" xr:uid="{EFE02A3E-F9FC-46B8-8BAD-E7E841F70536}">
          <x14:formula1>
            <xm:f>Data!$C$1:$C$12</xm:f>
          </x14:formula1>
          <xm:sqref>L4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md.salauddin</dc:creator>
  <cp:lastModifiedBy>md.salauddin</cp:lastModifiedBy>
  <dcterms:created xsi:type="dcterms:W3CDTF">2022-10-11T06:47:37Z</dcterms:created>
  <dcterms:modified xsi:type="dcterms:W3CDTF">2023-03-23T06:03:17Z</dcterms:modified>
</cp:coreProperties>
</file>