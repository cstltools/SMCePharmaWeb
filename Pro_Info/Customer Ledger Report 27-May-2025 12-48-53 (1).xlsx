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dur Razzak Shuvo\Desktop\"/>
    </mc:Choice>
  </mc:AlternateContent>
  <bookViews>
    <workbookView xWindow="0" yWindow="0" windowWidth="7470" windowHeight="2700"/>
  </bookViews>
  <sheets>
    <sheet name="Sheet3" sheetId="3" r:id="rId1"/>
    <sheet name="Sheet1" sheetId="1" r:id="rId2"/>
    <sheet name="Sheet2" sheetId="2" r:id="rId3"/>
  </sheets>
  <calcPr calcId="162913"/>
</workbook>
</file>

<file path=xl/calcChain.xml><?xml version="1.0" encoding="utf-8"?>
<calcChain xmlns="http://schemas.openxmlformats.org/spreadsheetml/2006/main">
  <c r="C12" i="3" l="1"/>
  <c r="B12" i="3"/>
  <c r="K25" i="1"/>
  <c r="L25" i="1"/>
  <c r="M25" i="1"/>
  <c r="N25" i="1"/>
  <c r="O25" i="1"/>
  <c r="P25" i="1"/>
  <c r="Q25" i="1"/>
  <c r="J25" i="1"/>
  <c r="K22" i="1"/>
  <c r="L22" i="1"/>
  <c r="M22" i="1"/>
  <c r="N22" i="1"/>
  <c r="O22" i="1"/>
  <c r="P22" i="1"/>
  <c r="Q22" i="1"/>
  <c r="J22" i="1"/>
</calcChain>
</file>

<file path=xl/sharedStrings.xml><?xml version="1.0" encoding="utf-8"?>
<sst xmlns="http://schemas.openxmlformats.org/spreadsheetml/2006/main" count="187" uniqueCount="64">
  <si>
    <t>SMC Enterprise Ltd.</t>
  </si>
  <si>
    <t>SMC Tower, 33, Banani C/A, Dhaka - 1213</t>
  </si>
  <si>
    <t>Customer Ledger Report</t>
  </si>
  <si>
    <t>From: 1 May, 2024 To: 27 May, 2025</t>
  </si>
  <si>
    <t>Sales Center
Code</t>
  </si>
  <si>
    <t>Sales Center
Name</t>
  </si>
  <si>
    <t>Customer
Code</t>
  </si>
  <si>
    <t>Customer
Name</t>
  </si>
  <si>
    <t>Order No</t>
  </si>
  <si>
    <t>Market Code</t>
  </si>
  <si>
    <t>Market Name</t>
  </si>
  <si>
    <t>Invoice Number</t>
  </si>
  <si>
    <t>Invoice Date</t>
  </si>
  <si>
    <t>Proforma</t>
  </si>
  <si>
    <t>Delivery</t>
  </si>
  <si>
    <t>Return</t>
  </si>
  <si>
    <t>Payment</t>
  </si>
  <si>
    <t>Campaign</t>
  </si>
  <si>
    <t>Net TP</t>
  </si>
  <si>
    <t>Net Amount</t>
  </si>
  <si>
    <t>BD80</t>
  </si>
  <si>
    <t>Kustia Distribution Center (Sub)</t>
  </si>
  <si>
    <t>C151307</t>
  </si>
  <si>
    <t>Shaon Pharmacy</t>
  </si>
  <si>
    <t>ODR-250201503442</t>
  </si>
  <si>
    <t>MAR-10969</t>
  </si>
  <si>
    <t>Joynagar</t>
  </si>
  <si>
    <t>AINV-BD800000487262</t>
  </si>
  <si>
    <t>FCB FY-24-25</t>
  </si>
  <si>
    <t>ODR-240901420980</t>
  </si>
  <si>
    <t>INV-BD800000407490</t>
  </si>
  <si>
    <t>ODR-250301527799</t>
  </si>
  <si>
    <t>AINV-BD800000506709</t>
  </si>
  <si>
    <t>ODR-250204506538</t>
  </si>
  <si>
    <t>AINV-BD800000491695</t>
  </si>
  <si>
    <t>ODR-240605387280</t>
  </si>
  <si>
    <t>AINV-BD800000375684</t>
  </si>
  <si>
    <t>GENERAL</t>
  </si>
  <si>
    <t>ODR-240801405948</t>
  </si>
  <si>
    <t>AINV-BD800000397813</t>
  </si>
  <si>
    <t>ODR-240610389227</t>
  </si>
  <si>
    <t>AINV-BD800000377738</t>
  </si>
  <si>
    <t>SC June-24</t>
  </si>
  <si>
    <t>ODR-250101485471</t>
  </si>
  <si>
    <t>AINV-BD800000480542</t>
  </si>
  <si>
    <t>ODR-240627392278</t>
  </si>
  <si>
    <t>AINV-BD800000380539</t>
  </si>
  <si>
    <t>ODR-250527571914</t>
  </si>
  <si>
    <t>AINV-BD800000548807</t>
  </si>
  <si>
    <t>ODR-250420555157</t>
  </si>
  <si>
    <t>AINV-BD800000536920</t>
  </si>
  <si>
    <t>ODR-250327544447</t>
  </si>
  <si>
    <t>INV-BD800000523332</t>
  </si>
  <si>
    <t>ODR-241128467177</t>
  </si>
  <si>
    <t>AINV-BD800000451911</t>
  </si>
  <si>
    <t>ODR-241028451510</t>
  </si>
  <si>
    <t>AINV-BD800000436786</t>
  </si>
  <si>
    <t>ODR-240928435857</t>
  </si>
  <si>
    <t>AINV-BD800000421878</t>
  </si>
  <si>
    <t>Total:</t>
  </si>
  <si>
    <t>InvoiceNo</t>
  </si>
  <si>
    <t>TPAmount</t>
  </si>
  <si>
    <t>NetAmount</t>
  </si>
  <si>
    <t>custPaymentDate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</si>
</sst>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 applyNumberFormat="1"/>
    <xf numFmtId="14" fontId="0" fillId="0" borderId="0" xfId="0" applyNumberFormat="1"/>
    <xf numFmtId="0" fontId="0" fillId="0" borderId="0" xfId="0" applyNumberFormat="1"/>
    <xf numFmtId="15" fontId="0" fillId="0" borderId="0" xfId="0" applyNumberFormat="1"/>
    <xf numFmtId="0" fontId="1" fillId="2" borderId="0" xfId="1" applyNumberFormat="1"/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C17" sqref="C17"/>
    </sheetView>
  </sheetViews>
  <sheetFormatPr defaultRowHeight="15.75" x14ac:dyDescent="0.25"/>
  <cols>
    <col min="1" max="1" width="24.875" customWidth="1"/>
    <col min="2" max="2" width="22.625" customWidth="1"/>
    <col min="3" max="3" width="24.5" customWidth="1"/>
    <col min="4" max="4" width="27.625" customWidth="1"/>
  </cols>
  <sheetData>
    <row r="1" spans="1:4" x14ac:dyDescent="0.25">
      <c r="A1" s="4" t="s">
        <v>60</v>
      </c>
      <c r="B1" s="4" t="s">
        <v>61</v>
      </c>
      <c r="C1" s="4" t="s">
        <v>62</v>
      </c>
      <c r="D1" s="4" t="s">
        <v>63</v>
      </c>
    </row>
    <row r="2" spans="1:4" x14ac:dyDescent="0.25">
      <c r="A2" t="s">
        <v>46</v>
      </c>
      <c r="B2">
        <v>4155.49</v>
      </c>
      <c r="C2">
        <v>7000</v>
      </c>
      <c r="D2" s="3">
        <v>45510</v>
      </c>
    </row>
    <row r="3" spans="1:4" x14ac:dyDescent="0.25">
      <c r="A3" t="s">
        <v>46</v>
      </c>
      <c r="B3">
        <v>0</v>
      </c>
      <c r="C3">
        <v>10000</v>
      </c>
      <c r="D3" s="3">
        <v>45510</v>
      </c>
    </row>
    <row r="4" spans="1:4" x14ac:dyDescent="0.25">
      <c r="A4" t="s">
        <v>46</v>
      </c>
      <c r="B4">
        <v>10000</v>
      </c>
      <c r="C4">
        <v>10000</v>
      </c>
      <c r="D4" s="3">
        <v>45512</v>
      </c>
    </row>
    <row r="5" spans="1:4" x14ac:dyDescent="0.25">
      <c r="A5" t="s">
        <v>46</v>
      </c>
      <c r="B5">
        <v>12000</v>
      </c>
      <c r="C5">
        <v>12000</v>
      </c>
      <c r="D5" s="3">
        <v>45514</v>
      </c>
    </row>
    <row r="6" spans="1:4" x14ac:dyDescent="0.25">
      <c r="A6" t="s">
        <v>46</v>
      </c>
      <c r="B6">
        <v>5000</v>
      </c>
      <c r="C6">
        <v>5000</v>
      </c>
      <c r="D6" s="3">
        <v>45517</v>
      </c>
    </row>
    <row r="7" spans="1:4" x14ac:dyDescent="0.25">
      <c r="A7" t="s">
        <v>46</v>
      </c>
      <c r="B7">
        <v>6500</v>
      </c>
      <c r="C7">
        <v>6500</v>
      </c>
      <c r="D7" s="3">
        <v>45518</v>
      </c>
    </row>
    <row r="8" spans="1:4" x14ac:dyDescent="0.25">
      <c r="A8" t="s">
        <v>46</v>
      </c>
      <c r="B8">
        <v>9999.81</v>
      </c>
      <c r="C8">
        <v>9999.81</v>
      </c>
      <c r="D8" s="3">
        <v>45518</v>
      </c>
    </row>
    <row r="9" spans="1:4" x14ac:dyDescent="0.25">
      <c r="A9" t="s">
        <v>46</v>
      </c>
      <c r="B9">
        <v>10000</v>
      </c>
      <c r="C9">
        <v>10000</v>
      </c>
      <c r="D9" s="3">
        <v>45519</v>
      </c>
    </row>
    <row r="10" spans="1:4" x14ac:dyDescent="0.25">
      <c r="A10" t="s">
        <v>46</v>
      </c>
      <c r="B10">
        <v>6159</v>
      </c>
      <c r="C10">
        <v>6159</v>
      </c>
      <c r="D10" s="3">
        <v>45523</v>
      </c>
    </row>
    <row r="11" spans="1:4" x14ac:dyDescent="0.25">
      <c r="A11" t="s">
        <v>46</v>
      </c>
      <c r="B11">
        <v>10000</v>
      </c>
      <c r="C11">
        <v>10000</v>
      </c>
      <c r="D11" s="3">
        <v>45524</v>
      </c>
    </row>
    <row r="12" spans="1:4" x14ac:dyDescent="0.25">
      <c r="B12">
        <f>SUM(B2:B11)</f>
        <v>73814.299999999988</v>
      </c>
      <c r="C12">
        <f>SUM(C2:C11)</f>
        <v>86658.81</v>
      </c>
    </row>
    <row r="17" spans="1:4" x14ac:dyDescent="0.25">
      <c r="A17" t="s">
        <v>60</v>
      </c>
      <c r="B17" t="s">
        <v>61</v>
      </c>
      <c r="C17" t="s">
        <v>62</v>
      </c>
      <c r="D17" t="s">
        <v>63</v>
      </c>
    </row>
    <row r="18" spans="1:4" x14ac:dyDescent="0.25">
      <c r="A18" t="s">
        <v>50</v>
      </c>
      <c r="B18">
        <v>0</v>
      </c>
      <c r="C18">
        <v>2917.45</v>
      </c>
      <c r="D18" s="3">
        <v>45790</v>
      </c>
    </row>
    <row r="19" spans="1:4" x14ac:dyDescent="0.25">
      <c r="A19" t="s">
        <v>50</v>
      </c>
      <c r="B19">
        <v>3338.5</v>
      </c>
      <c r="C19">
        <v>5000</v>
      </c>
      <c r="D19" s="3">
        <v>45792</v>
      </c>
    </row>
    <row r="20" spans="1:4" x14ac:dyDescent="0.25">
      <c r="A20" t="s">
        <v>50</v>
      </c>
      <c r="B20">
        <v>22974</v>
      </c>
      <c r="C20">
        <v>22974</v>
      </c>
      <c r="D20" s="3">
        <v>45793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W22" sqref="W22"/>
    </sheetView>
  </sheetViews>
  <sheetFormatPr defaultRowHeight="15" x14ac:dyDescent="0.25"/>
  <sheetData>
    <row r="1" spans="1:23" ht="15.7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3" ht="15.7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23" ht="15.75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23" ht="15.75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23" ht="15.75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/>
      <c r="L5" s="2" t="s">
        <v>14</v>
      </c>
      <c r="M5" s="2"/>
      <c r="N5" s="2" t="s">
        <v>15</v>
      </c>
      <c r="O5" s="2"/>
      <c r="P5" s="2" t="s">
        <v>16</v>
      </c>
      <c r="Q5" s="2"/>
      <c r="R5" s="2" t="s">
        <v>17</v>
      </c>
    </row>
    <row r="6" spans="1:23" ht="15.75" x14ac:dyDescent="0.25">
      <c r="A6" s="2"/>
      <c r="B6" s="2"/>
      <c r="C6" s="2"/>
      <c r="D6" s="2"/>
      <c r="E6" s="2"/>
      <c r="F6" s="2"/>
      <c r="G6" s="2"/>
      <c r="H6" s="2"/>
      <c r="I6" s="2"/>
      <c r="J6" t="s">
        <v>18</v>
      </c>
      <c r="K6" t="s">
        <v>19</v>
      </c>
      <c r="L6" t="s">
        <v>18</v>
      </c>
      <c r="M6" t="s">
        <v>19</v>
      </c>
      <c r="N6" t="s">
        <v>18</v>
      </c>
      <c r="O6" t="s">
        <v>19</v>
      </c>
      <c r="P6" t="s">
        <v>18</v>
      </c>
      <c r="Q6" t="s">
        <v>19</v>
      </c>
      <c r="R6" s="2"/>
      <c r="W6" t="s">
        <v>46</v>
      </c>
    </row>
    <row r="7" spans="1:23" ht="15.75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s="1">
        <v>45689.000231481485</v>
      </c>
      <c r="J7">
        <v>52985.48</v>
      </c>
      <c r="K7">
        <v>62205.65</v>
      </c>
      <c r="L7">
        <v>0</v>
      </c>
      <c r="M7">
        <v>0</v>
      </c>
      <c r="N7">
        <v>0</v>
      </c>
      <c r="O7">
        <v>0</v>
      </c>
      <c r="P7">
        <v>52985.48</v>
      </c>
      <c r="Q7">
        <v>62205.65</v>
      </c>
      <c r="R7" t="s">
        <v>28</v>
      </c>
    </row>
    <row r="8" spans="1:23" ht="15.75" x14ac:dyDescent="0.25">
      <c r="A8" t="s">
        <v>20</v>
      </c>
      <c r="B8" t="s">
        <v>21</v>
      </c>
      <c r="C8" t="s">
        <v>22</v>
      </c>
      <c r="D8" t="s">
        <v>23</v>
      </c>
      <c r="E8" t="s">
        <v>29</v>
      </c>
      <c r="F8" t="s">
        <v>25</v>
      </c>
      <c r="G8" t="s">
        <v>26</v>
      </c>
      <c r="H8" t="s">
        <v>30</v>
      </c>
      <c r="I8" s="1">
        <v>45536.000231481485</v>
      </c>
      <c r="J8">
        <v>50696.82</v>
      </c>
      <c r="K8">
        <v>59518.5</v>
      </c>
      <c r="L8">
        <v>0</v>
      </c>
      <c r="M8">
        <v>0</v>
      </c>
      <c r="N8">
        <v>0</v>
      </c>
      <c r="O8">
        <v>0</v>
      </c>
      <c r="P8">
        <v>50696.82</v>
      </c>
      <c r="Q8">
        <v>59518.5</v>
      </c>
      <c r="R8" t="s">
        <v>28</v>
      </c>
    </row>
    <row r="9" spans="1:23" ht="15.75" x14ac:dyDescent="0.25">
      <c r="A9" t="s">
        <v>20</v>
      </c>
      <c r="B9" t="s">
        <v>21</v>
      </c>
      <c r="C9" t="s">
        <v>22</v>
      </c>
      <c r="D9" t="s">
        <v>23</v>
      </c>
      <c r="E9" t="s">
        <v>31</v>
      </c>
      <c r="F9" t="s">
        <v>25</v>
      </c>
      <c r="G9" t="s">
        <v>26</v>
      </c>
      <c r="H9" t="s">
        <v>32</v>
      </c>
      <c r="I9" s="1">
        <v>45718.000231481485</v>
      </c>
      <c r="J9">
        <v>39654.300000000003</v>
      </c>
      <c r="K9">
        <v>46554.79</v>
      </c>
      <c r="L9">
        <v>0</v>
      </c>
      <c r="M9">
        <v>0</v>
      </c>
      <c r="N9">
        <v>5512.5</v>
      </c>
      <c r="O9">
        <v>6471.75</v>
      </c>
      <c r="P9">
        <v>34141.800000000003</v>
      </c>
      <c r="Q9">
        <v>40083.040000000001</v>
      </c>
      <c r="R9" t="s">
        <v>28</v>
      </c>
    </row>
    <row r="10" spans="1:23" ht="15.75" x14ac:dyDescent="0.25">
      <c r="A10" t="s">
        <v>20</v>
      </c>
      <c r="B10" t="s">
        <v>21</v>
      </c>
      <c r="C10" t="s">
        <v>22</v>
      </c>
      <c r="D10" t="s">
        <v>23</v>
      </c>
      <c r="E10" t="s">
        <v>33</v>
      </c>
      <c r="F10" t="s">
        <v>25</v>
      </c>
      <c r="G10" t="s">
        <v>26</v>
      </c>
      <c r="H10" t="s">
        <v>34</v>
      </c>
      <c r="I10" s="1">
        <v>45693.000231481485</v>
      </c>
      <c r="J10">
        <v>18750</v>
      </c>
      <c r="K10">
        <v>22012.5</v>
      </c>
      <c r="L10">
        <v>0</v>
      </c>
      <c r="M10">
        <v>0</v>
      </c>
      <c r="N10">
        <v>0</v>
      </c>
      <c r="O10">
        <v>0</v>
      </c>
      <c r="P10">
        <v>18750</v>
      </c>
      <c r="Q10">
        <v>22012.5</v>
      </c>
      <c r="R10" t="s">
        <v>28</v>
      </c>
    </row>
    <row r="11" spans="1:23" ht="15.75" x14ac:dyDescent="0.25">
      <c r="A11" t="s">
        <v>20</v>
      </c>
      <c r="B11" t="s">
        <v>21</v>
      </c>
      <c r="C11" t="s">
        <v>22</v>
      </c>
      <c r="D11" t="s">
        <v>23</v>
      </c>
      <c r="E11" t="s">
        <v>35</v>
      </c>
      <c r="F11" t="s">
        <v>25</v>
      </c>
      <c r="G11" t="s">
        <v>26</v>
      </c>
      <c r="H11" t="s">
        <v>36</v>
      </c>
      <c r="I11" s="1">
        <v>45448.000231481485</v>
      </c>
      <c r="J11">
        <v>8815.89</v>
      </c>
      <c r="K11">
        <v>10430.69</v>
      </c>
      <c r="L11">
        <v>0</v>
      </c>
      <c r="M11">
        <v>0</v>
      </c>
      <c r="N11">
        <v>0</v>
      </c>
      <c r="O11">
        <v>0</v>
      </c>
      <c r="P11">
        <v>8815.89</v>
      </c>
      <c r="Q11">
        <v>10430.69</v>
      </c>
      <c r="R11" t="s">
        <v>37</v>
      </c>
    </row>
    <row r="12" spans="1:23" ht="15.75" x14ac:dyDescent="0.25">
      <c r="A12" t="s">
        <v>20</v>
      </c>
      <c r="B12" t="s">
        <v>21</v>
      </c>
      <c r="C12" t="s">
        <v>22</v>
      </c>
      <c r="D12" t="s">
        <v>23</v>
      </c>
      <c r="E12" t="s">
        <v>38</v>
      </c>
      <c r="F12" t="s">
        <v>25</v>
      </c>
      <c r="G12" t="s">
        <v>26</v>
      </c>
      <c r="H12" t="s">
        <v>39</v>
      </c>
      <c r="I12" s="1">
        <v>45514.000231481485</v>
      </c>
      <c r="J12">
        <v>25542.76</v>
      </c>
      <c r="K12">
        <v>29987.599999999999</v>
      </c>
      <c r="L12">
        <v>0</v>
      </c>
      <c r="M12">
        <v>0</v>
      </c>
      <c r="N12">
        <v>0</v>
      </c>
      <c r="O12">
        <v>0</v>
      </c>
      <c r="P12">
        <v>25542.76</v>
      </c>
      <c r="Q12">
        <v>29987.599999999999</v>
      </c>
      <c r="R12" t="s">
        <v>28</v>
      </c>
    </row>
    <row r="13" spans="1:23" ht="15.75" x14ac:dyDescent="0.25">
      <c r="A13" t="s">
        <v>20</v>
      </c>
      <c r="B13" t="s">
        <v>21</v>
      </c>
      <c r="C13" t="s">
        <v>22</v>
      </c>
      <c r="D13" t="s">
        <v>23</v>
      </c>
      <c r="E13" t="s">
        <v>40</v>
      </c>
      <c r="F13" t="s">
        <v>25</v>
      </c>
      <c r="G13" t="s">
        <v>26</v>
      </c>
      <c r="H13" t="s">
        <v>41</v>
      </c>
      <c r="I13" s="1">
        <v>45454.000231481485</v>
      </c>
      <c r="J13">
        <v>20095.099999999999</v>
      </c>
      <c r="K13">
        <v>23591.85</v>
      </c>
      <c r="L13">
        <v>0</v>
      </c>
      <c r="M13">
        <v>0</v>
      </c>
      <c r="N13">
        <v>0</v>
      </c>
      <c r="O13">
        <v>0</v>
      </c>
      <c r="P13">
        <v>20095.099999999999</v>
      </c>
      <c r="Q13">
        <v>23591.85</v>
      </c>
      <c r="R13" t="s">
        <v>42</v>
      </c>
    </row>
    <row r="14" spans="1:23" ht="15.75" x14ac:dyDescent="0.25">
      <c r="A14" t="s">
        <v>20</v>
      </c>
      <c r="B14" t="s">
        <v>21</v>
      </c>
      <c r="C14" t="s">
        <v>22</v>
      </c>
      <c r="D14" t="s">
        <v>23</v>
      </c>
      <c r="E14" t="s">
        <v>43</v>
      </c>
      <c r="F14" t="s">
        <v>25</v>
      </c>
      <c r="G14" t="s">
        <v>26</v>
      </c>
      <c r="H14" t="s">
        <v>44</v>
      </c>
      <c r="I14" s="1">
        <v>45677.000231481485</v>
      </c>
      <c r="J14">
        <v>51186.879999999997</v>
      </c>
      <c r="K14">
        <v>60093.75</v>
      </c>
      <c r="L14">
        <v>0</v>
      </c>
      <c r="M14">
        <v>0</v>
      </c>
      <c r="N14">
        <v>0</v>
      </c>
      <c r="O14">
        <v>0</v>
      </c>
      <c r="P14">
        <v>51186.879999999997</v>
      </c>
      <c r="Q14">
        <v>60093.75</v>
      </c>
      <c r="R14" t="s">
        <v>28</v>
      </c>
    </row>
    <row r="15" spans="1:23" ht="15.75" x14ac:dyDescent="0.25">
      <c r="A15" t="s">
        <v>20</v>
      </c>
      <c r="B15" t="s">
        <v>21</v>
      </c>
      <c r="C15" t="s">
        <v>22</v>
      </c>
      <c r="D15" t="s">
        <v>23</v>
      </c>
      <c r="E15" t="s">
        <v>45</v>
      </c>
      <c r="F15" t="s">
        <v>25</v>
      </c>
      <c r="G15" t="s">
        <v>26</v>
      </c>
      <c r="H15" t="s">
        <v>46</v>
      </c>
      <c r="I15" s="1">
        <v>45470.000231481485</v>
      </c>
      <c r="J15">
        <v>76178.31</v>
      </c>
      <c r="K15">
        <v>89609.82</v>
      </c>
      <c r="L15">
        <v>73814.3</v>
      </c>
      <c r="M15">
        <v>86658.81</v>
      </c>
      <c r="N15">
        <v>0</v>
      </c>
      <c r="O15">
        <v>0</v>
      </c>
      <c r="P15">
        <v>73814.3</v>
      </c>
      <c r="Q15">
        <v>86658.81</v>
      </c>
      <c r="R15" t="s">
        <v>28</v>
      </c>
    </row>
    <row r="16" spans="1:23" ht="15.75" x14ac:dyDescent="0.25">
      <c r="A16" t="s">
        <v>20</v>
      </c>
      <c r="B16" t="s">
        <v>21</v>
      </c>
      <c r="C16" t="s">
        <v>22</v>
      </c>
      <c r="D16" t="s">
        <v>23</v>
      </c>
      <c r="E16" t="s">
        <v>47</v>
      </c>
      <c r="F16" t="s">
        <v>25</v>
      </c>
      <c r="G16" t="s">
        <v>26</v>
      </c>
      <c r="H16" t="s">
        <v>48</v>
      </c>
      <c r="I16" s="1">
        <v>45804.000231481485</v>
      </c>
      <c r="J16">
        <v>1079.52</v>
      </c>
      <c r="K16">
        <v>1267.3599999999999</v>
      </c>
      <c r="L16">
        <v>0</v>
      </c>
      <c r="M16">
        <v>0</v>
      </c>
      <c r="N16">
        <v>0</v>
      </c>
      <c r="O16">
        <v>0</v>
      </c>
      <c r="P16">
        <v>1079.52</v>
      </c>
      <c r="Q16">
        <v>1267.3599999999999</v>
      </c>
      <c r="R16" t="s">
        <v>28</v>
      </c>
    </row>
    <row r="17" spans="1:23" ht="15.75" x14ac:dyDescent="0.25">
      <c r="A17" t="s">
        <v>20</v>
      </c>
      <c r="B17" t="s">
        <v>21</v>
      </c>
      <c r="C17" t="s">
        <v>22</v>
      </c>
      <c r="D17" t="s">
        <v>23</v>
      </c>
      <c r="E17" t="s">
        <v>49</v>
      </c>
      <c r="F17" t="s">
        <v>25</v>
      </c>
      <c r="G17" t="s">
        <v>26</v>
      </c>
      <c r="H17" t="s">
        <v>50</v>
      </c>
      <c r="I17" s="1">
        <v>45775.000231481485</v>
      </c>
      <c r="J17">
        <v>29987.5</v>
      </c>
      <c r="K17">
        <v>35205.949999999997</v>
      </c>
      <c r="L17">
        <v>26312.5</v>
      </c>
      <c r="M17">
        <v>30891.45</v>
      </c>
      <c r="N17">
        <v>0</v>
      </c>
      <c r="O17">
        <v>0</v>
      </c>
      <c r="P17">
        <v>26312.5</v>
      </c>
      <c r="Q17">
        <v>30891.45</v>
      </c>
      <c r="R17" t="s">
        <v>28</v>
      </c>
    </row>
    <row r="18" spans="1:23" ht="15.75" x14ac:dyDescent="0.25">
      <c r="A18" t="s">
        <v>20</v>
      </c>
      <c r="B18" t="s">
        <v>21</v>
      </c>
      <c r="C18" t="s">
        <v>22</v>
      </c>
      <c r="D18" t="s">
        <v>23</v>
      </c>
      <c r="E18" t="s">
        <v>51</v>
      </c>
      <c r="F18" t="s">
        <v>25</v>
      </c>
      <c r="G18" t="s">
        <v>26</v>
      </c>
      <c r="H18" t="s">
        <v>52</v>
      </c>
      <c r="I18" s="1">
        <v>45744.000231481485</v>
      </c>
      <c r="J18">
        <v>61975.66</v>
      </c>
      <c r="K18">
        <v>72759.69</v>
      </c>
      <c r="L18">
        <v>0</v>
      </c>
      <c r="M18">
        <v>0</v>
      </c>
      <c r="N18">
        <v>0</v>
      </c>
      <c r="O18">
        <v>0</v>
      </c>
      <c r="P18">
        <v>61975.66</v>
      </c>
      <c r="Q18">
        <v>72759.69</v>
      </c>
      <c r="R18" t="s">
        <v>28</v>
      </c>
    </row>
    <row r="19" spans="1:23" ht="15.75" x14ac:dyDescent="0.25">
      <c r="A19" t="s">
        <v>20</v>
      </c>
      <c r="B19" t="s">
        <v>21</v>
      </c>
      <c r="C19" t="s">
        <v>22</v>
      </c>
      <c r="D19" t="s">
        <v>23</v>
      </c>
      <c r="E19" t="s">
        <v>53</v>
      </c>
      <c r="F19" t="s">
        <v>25</v>
      </c>
      <c r="G19" t="s">
        <v>26</v>
      </c>
      <c r="H19" t="s">
        <v>54</v>
      </c>
      <c r="I19" s="1">
        <v>45624.000231481485</v>
      </c>
      <c r="J19">
        <v>51743.72</v>
      </c>
      <c r="K19">
        <v>60747.54</v>
      </c>
      <c r="L19">
        <v>0</v>
      </c>
      <c r="M19">
        <v>0</v>
      </c>
      <c r="N19">
        <v>0</v>
      </c>
      <c r="O19">
        <v>0</v>
      </c>
      <c r="P19">
        <v>51743.72</v>
      </c>
      <c r="Q19">
        <v>60747.54</v>
      </c>
      <c r="R19" t="s">
        <v>28</v>
      </c>
    </row>
    <row r="20" spans="1:23" ht="15.75" x14ac:dyDescent="0.25">
      <c r="A20" t="s">
        <v>20</v>
      </c>
      <c r="B20" t="s">
        <v>21</v>
      </c>
      <c r="C20" t="s">
        <v>22</v>
      </c>
      <c r="D20" t="s">
        <v>23</v>
      </c>
      <c r="E20" t="s">
        <v>55</v>
      </c>
      <c r="F20" t="s">
        <v>25</v>
      </c>
      <c r="G20" t="s">
        <v>26</v>
      </c>
      <c r="H20" t="s">
        <v>56</v>
      </c>
      <c r="I20" s="1">
        <v>45593.000231481485</v>
      </c>
      <c r="J20">
        <v>51520.78</v>
      </c>
      <c r="K20">
        <v>60486.06</v>
      </c>
      <c r="L20">
        <v>0</v>
      </c>
      <c r="M20">
        <v>0</v>
      </c>
      <c r="N20">
        <v>0</v>
      </c>
      <c r="O20">
        <v>0</v>
      </c>
      <c r="P20">
        <v>51520.78</v>
      </c>
      <c r="Q20">
        <v>60486.06</v>
      </c>
      <c r="R20" t="s">
        <v>28</v>
      </c>
    </row>
    <row r="21" spans="1:23" ht="15.75" x14ac:dyDescent="0.25">
      <c r="A21" t="s">
        <v>20</v>
      </c>
      <c r="B21" t="s">
        <v>21</v>
      </c>
      <c r="C21" t="s">
        <v>22</v>
      </c>
      <c r="D21" t="s">
        <v>23</v>
      </c>
      <c r="E21" t="s">
        <v>57</v>
      </c>
      <c r="F21" t="s">
        <v>25</v>
      </c>
      <c r="G21" t="s">
        <v>26</v>
      </c>
      <c r="H21" t="s">
        <v>58</v>
      </c>
      <c r="I21" s="1">
        <v>45564.000231481485</v>
      </c>
      <c r="J21">
        <v>51389.279999999999</v>
      </c>
      <c r="K21">
        <v>60331.47</v>
      </c>
      <c r="L21">
        <v>0</v>
      </c>
      <c r="M21">
        <v>0</v>
      </c>
      <c r="N21">
        <v>0</v>
      </c>
      <c r="O21">
        <v>0</v>
      </c>
      <c r="P21">
        <v>51389.279999999999</v>
      </c>
      <c r="Q21">
        <v>60331.47</v>
      </c>
      <c r="R21" t="s">
        <v>28</v>
      </c>
    </row>
    <row r="22" spans="1:23" ht="15.75" x14ac:dyDescent="0.25">
      <c r="I22" s="1"/>
      <c r="J22">
        <f>SUM(J7:J21)</f>
        <v>591602</v>
      </c>
      <c r="K22">
        <f t="shared" ref="K22:Q22" si="0">SUM(K7:K21)</f>
        <v>694803.22</v>
      </c>
      <c r="L22">
        <f t="shared" si="0"/>
        <v>100126.8</v>
      </c>
      <c r="M22">
        <f t="shared" si="0"/>
        <v>117550.26</v>
      </c>
      <c r="N22">
        <f t="shared" si="0"/>
        <v>5512.5</v>
      </c>
      <c r="O22">
        <f t="shared" si="0"/>
        <v>6471.75</v>
      </c>
      <c r="P22">
        <f t="shared" si="0"/>
        <v>580050.49</v>
      </c>
      <c r="Q22">
        <f t="shared" si="0"/>
        <v>681065.96</v>
      </c>
      <c r="W22" t="s">
        <v>46</v>
      </c>
    </row>
    <row r="23" spans="1:23" ht="15.75" x14ac:dyDescent="0.25">
      <c r="A23" s="2" t="s">
        <v>59</v>
      </c>
      <c r="B23" s="2"/>
      <c r="C23" s="2"/>
      <c r="D23" s="2"/>
      <c r="E23" s="2"/>
      <c r="F23" s="2"/>
      <c r="G23" s="2"/>
      <c r="H23" s="2"/>
      <c r="I23" s="2"/>
      <c r="J23">
        <v>591602</v>
      </c>
      <c r="K23">
        <v>694803.22</v>
      </c>
      <c r="L23">
        <v>100126.8</v>
      </c>
      <c r="M23">
        <v>117550.26</v>
      </c>
      <c r="N23">
        <v>5512.5</v>
      </c>
      <c r="O23">
        <v>6471.75</v>
      </c>
      <c r="P23">
        <v>580050.49</v>
      </c>
      <c r="Q23">
        <v>681065.96</v>
      </c>
    </row>
    <row r="25" spans="1:23" x14ac:dyDescent="0.25">
      <c r="J25">
        <f>J22-J23</f>
        <v>0</v>
      </c>
      <c r="K25">
        <f t="shared" ref="K25:Q25" si="1">K22-K23</f>
        <v>0</v>
      </c>
      <c r="L25">
        <f t="shared" si="1"/>
        <v>0</v>
      </c>
      <c r="M25">
        <f t="shared" si="1"/>
        <v>0</v>
      </c>
      <c r="N25">
        <f t="shared" si="1"/>
        <v>0</v>
      </c>
      <c r="O25">
        <f t="shared" si="1"/>
        <v>0</v>
      </c>
      <c r="P25">
        <f t="shared" si="1"/>
        <v>0</v>
      </c>
      <c r="Q25">
        <f t="shared" si="1"/>
        <v>0</v>
      </c>
    </row>
    <row r="26" spans="1:23" ht="15.75" x14ac:dyDescent="0.25"/>
    <row r="27" spans="1:23" ht="15" customHeight="1" x14ac:dyDescent="0.25">
      <c r="T27">
        <v>2917.45</v>
      </c>
    </row>
    <row r="28" spans="1:23" ht="15" customHeight="1" x14ac:dyDescent="0.25">
      <c r="H28">
        <v>5000</v>
      </c>
      <c r="T28">
        <v>1661.5</v>
      </c>
    </row>
    <row r="29" spans="1:23" ht="15.75" x14ac:dyDescent="0.25">
      <c r="H29">
        <v>22974</v>
      </c>
      <c r="T29">
        <v>0</v>
      </c>
    </row>
    <row r="30" spans="1:23" ht="15" customHeight="1" x14ac:dyDescent="0.25">
      <c r="H30">
        <v>2917.45</v>
      </c>
      <c r="N30">
        <v>2917.45</v>
      </c>
    </row>
    <row r="31" spans="1:23" ht="15.75" x14ac:dyDescent="0.25">
      <c r="N31">
        <v>1661.5</v>
      </c>
    </row>
    <row r="32" spans="1:23" ht="15" customHeight="1" x14ac:dyDescent="0.25">
      <c r="K32">
        <v>0</v>
      </c>
      <c r="N32">
        <v>0</v>
      </c>
    </row>
    <row r="33" spans="11:11" ht="15" customHeight="1" x14ac:dyDescent="0.25">
      <c r="K33">
        <v>3338.5</v>
      </c>
    </row>
    <row r="34" spans="11:11" ht="15" customHeight="1" x14ac:dyDescent="0.25">
      <c r="K34">
        <v>22974</v>
      </c>
    </row>
    <row r="35" spans="11:11" ht="15.75" x14ac:dyDescent="0.25"/>
  </sheetData>
  <mergeCells count="19">
    <mergeCell ref="P5:Q5"/>
    <mergeCell ref="R5:R6"/>
    <mergeCell ref="A23:I23"/>
    <mergeCell ref="A1:R1"/>
    <mergeCell ref="A2:R2"/>
    <mergeCell ref="A3:R3"/>
    <mergeCell ref="A4:R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K5"/>
    <mergeCell ref="L5:M5"/>
    <mergeCell ref="N5:O5"/>
  </mergeCells>
  <pageMargins left="0.7" right="0.7" top="0.75" bottom="0.75" header="0.3" footer="0.3"/>
  <ignoredErrors>
    <ignoredError sqref="A23:R23 A1:R2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workbookViewId="0">
      <selection activeCell="T17" sqref="T17:T26"/>
    </sheetView>
  </sheetViews>
  <sheetFormatPr defaultRowHeight="15.75" x14ac:dyDescent="0.25"/>
  <sheetData>
    <row r="1" spans="1:16" x14ac:dyDescent="0.25">
      <c r="A1" t="s">
        <v>46</v>
      </c>
    </row>
    <row r="10" spans="1:16" x14ac:dyDescent="0.25">
      <c r="P10">
        <v>5000</v>
      </c>
    </row>
    <row r="11" spans="1:16" x14ac:dyDescent="0.25">
      <c r="P11">
        <v>6500</v>
      </c>
    </row>
    <row r="12" spans="1:16" x14ac:dyDescent="0.25">
      <c r="P12">
        <v>9999.81</v>
      </c>
    </row>
    <row r="13" spans="1:16" x14ac:dyDescent="0.25">
      <c r="P13">
        <v>10000</v>
      </c>
    </row>
    <row r="14" spans="1:16" x14ac:dyDescent="0.25">
      <c r="P14">
        <v>6159</v>
      </c>
    </row>
    <row r="15" spans="1:16" x14ac:dyDescent="0.25">
      <c r="P15">
        <v>10000</v>
      </c>
    </row>
    <row r="16" spans="1:16" x14ac:dyDescent="0.25">
      <c r="H16" t="s">
        <v>46</v>
      </c>
      <c r="P16">
        <v>7000</v>
      </c>
    </row>
    <row r="17" spans="16:20" x14ac:dyDescent="0.25">
      <c r="P17">
        <v>10000</v>
      </c>
      <c r="T17">
        <v>5000</v>
      </c>
    </row>
    <row r="18" spans="16:20" x14ac:dyDescent="0.25">
      <c r="P18">
        <v>12000</v>
      </c>
      <c r="T18">
        <v>6500</v>
      </c>
    </row>
    <row r="19" spans="16:20" x14ac:dyDescent="0.25">
      <c r="P19">
        <v>10000</v>
      </c>
      <c r="T19">
        <v>9999.81</v>
      </c>
    </row>
    <row r="20" spans="16:20" x14ac:dyDescent="0.25">
      <c r="T20">
        <v>10000</v>
      </c>
    </row>
    <row r="21" spans="16:20" x14ac:dyDescent="0.25">
      <c r="T21">
        <v>6159</v>
      </c>
    </row>
    <row r="22" spans="16:20" x14ac:dyDescent="0.25">
      <c r="T22">
        <v>10000</v>
      </c>
    </row>
    <row r="23" spans="16:20" x14ac:dyDescent="0.25">
      <c r="T23">
        <v>4155.49</v>
      </c>
    </row>
    <row r="24" spans="16:20" x14ac:dyDescent="0.25">
      <c r="T24">
        <v>10000</v>
      </c>
    </row>
    <row r="25" spans="16:20" x14ac:dyDescent="0.25">
      <c r="T25">
        <v>12000</v>
      </c>
    </row>
    <row r="26" spans="16:20" x14ac:dyDescent="0.25">
      <c r="T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 Razzak Shuvo</dc:creator>
  <cp:lastModifiedBy>Abdur Razzak Shuvo</cp:lastModifiedBy>
  <dcterms:created xsi:type="dcterms:W3CDTF">2025-05-27T11:11:44Z</dcterms:created>
  <dcterms:modified xsi:type="dcterms:W3CDTF">2025-05-27T11:11:44Z</dcterms:modified>
</cp:coreProperties>
</file>